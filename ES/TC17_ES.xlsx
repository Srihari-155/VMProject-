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NA\Documents\RateValueTesting\TC17\"/>
    </mc:Choice>
  </mc:AlternateContent>
  <xr:revisionPtr revIDLastSave="0" documentId="13_ncr:1_{685A83F3-DA27-4A18-95A6-10CD45705775}" xr6:coauthVersionLast="47" xr6:coauthVersionMax="47" xr10:uidLastSave="{00000000-0000-0000-0000-000000000000}"/>
  <bookViews>
    <workbookView xWindow="-110" yWindow="-110" windowWidth="19420" windowHeight="10300" xr2:uid="{70D08CF9-6ACC-4A51-9B08-9B9B6B0DA518}"/>
  </bookViews>
  <sheets>
    <sheet name="Page 1" sheetId="1" r:id="rId1"/>
    <sheet name="Page 3" sheetId="2" r:id="rId2"/>
    <sheet name="Page 5" sheetId="3" r:id="rId3"/>
    <sheet name="Page 6" sheetId="4" r:id="rId4"/>
    <sheet name="Page 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F22" i="4"/>
  <c r="F19" i="4"/>
  <c r="F18" i="4"/>
  <c r="F17" i="4"/>
  <c r="F10" i="4"/>
  <c r="F13" i="4"/>
  <c r="G13" i="2"/>
  <c r="D12" i="2"/>
  <c r="G6" i="2"/>
  <c r="F6" i="2"/>
  <c r="E6" i="2"/>
  <c r="D6" i="2"/>
  <c r="C6" i="2"/>
  <c r="C12" i="2" l="1"/>
  <c r="F9" i="4"/>
  <c r="E7" i="3"/>
  <c r="C7" i="1"/>
  <c r="C9" i="1" s="1"/>
  <c r="F8" i="4"/>
  <c r="E5" i="3"/>
  <c r="C16" i="1"/>
  <c r="E8" i="3" l="1"/>
</calcChain>
</file>

<file path=xl/sharedStrings.xml><?xml version="1.0" encoding="utf-8"?>
<sst xmlns="http://schemas.openxmlformats.org/spreadsheetml/2006/main" count="60" uniqueCount="42">
  <si>
    <t>Your Account Summary</t>
  </si>
  <si>
    <t>Amount</t>
  </si>
  <si>
    <t xml:space="preserve">Payment(s) Received Since Last Statement </t>
  </si>
  <si>
    <t>Your Net Energy Metering (NEM) Summary</t>
  </si>
  <si>
    <t>YTD NEM Charges Before Taxes</t>
  </si>
  <si>
    <t>Summary of NEM Charges</t>
  </si>
  <si>
    <t>Bill Period End Date</t>
  </si>
  <si>
    <t>Net Usage (kWh)</t>
  </si>
  <si>
    <t>TOTAL</t>
  </si>
  <si>
    <t>Net Peak Usage (kWh)</t>
  </si>
  <si>
    <t>Net Off Peak Usage (kWh)</t>
  </si>
  <si>
    <t>NEM Charges Before Taxes</t>
  </si>
  <si>
    <t>Details of Electric Monthly Charge</t>
  </si>
  <si>
    <t>Usages</t>
  </si>
  <si>
    <t>Rates</t>
  </si>
  <si>
    <t>Electric Monthly Charges</t>
  </si>
  <si>
    <t xml:space="preserve">                                                                  Details of NEM Charges                                                   Amount</t>
  </si>
  <si>
    <t>Your Electric Charges Breakdown</t>
  </si>
  <si>
    <t>YTD Estimated NEM Charges At True-Up</t>
  </si>
  <si>
    <t xml:space="preserve">Amount Due on Previous Statement </t>
  </si>
  <si>
    <t xml:space="preserve">Previous Unpaid Balance </t>
  </si>
  <si>
    <t xml:space="preserve">Current Electric Monthly Charges </t>
  </si>
  <si>
    <t>Net Usage</t>
  </si>
  <si>
    <t xml:space="preserve">Off Peak </t>
  </si>
  <si>
    <t xml:space="preserve">Monthly NEM Charges </t>
  </si>
  <si>
    <t xml:space="preserve">Total Electric Charges </t>
  </si>
  <si>
    <t>Total Amount Due by 03/11/2026</t>
  </si>
  <si>
    <t>Total Electric Minimum Delivery Charges</t>
  </si>
  <si>
    <t>Net Part Peak Usage (kWh)</t>
  </si>
  <si>
    <t>Minimum Delivery Charge</t>
  </si>
  <si>
    <t>Energy Charges</t>
  </si>
  <si>
    <t>Total</t>
  </si>
  <si>
    <t>02/16/2026 to 02/28/2026</t>
  </si>
  <si>
    <t>03/01/2026 to 03/15/2026</t>
  </si>
  <si>
    <t>Base Services Charge</t>
  </si>
  <si>
    <t xml:space="preserve">Peak </t>
  </si>
  <si>
    <t xml:space="preserve">Part Peak </t>
  </si>
  <si>
    <t xml:space="preserve">NBC Net Usage Adjustment </t>
  </si>
  <si>
    <t xml:space="preserve">State Mandated Non-Bypassable Charge </t>
  </si>
  <si>
    <t>Monthly NEM Charges</t>
  </si>
  <si>
    <t>Distribution</t>
  </si>
  <si>
    <t>Electric Public Purpose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</si>
</sst>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0.000000"/>
    <numFmt numFmtId="166" formatCode="&quot;$&quot;#,##0.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7"/>
      <color theme="1"/>
      <name val="Segoe UI"/>
      <family val="2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4" fontId="0" fillId="0" borderId="1" xfId="0" applyNumberFormat="1" applyBorder="1"/>
    <xf numFmtId="8" fontId="0" fillId="0" borderId="1" xfId="0" applyNumberFormat="1" applyBorder="1"/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14" fontId="0" fillId="0" borderId="1" xfId="0" applyNumberFormat="1" applyBorder="1"/>
    <xf numFmtId="0" fontId="1" fillId="3" borderId="1" xfId="0" applyFont="1" applyFill="1" applyBorder="1" applyAlignment="1">
      <alignment horizontal="right"/>
    </xf>
    <xf numFmtId="8" fontId="1" fillId="3" borderId="1" xfId="0" applyNumberFormat="1" applyFont="1" applyFill="1" applyBorder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1" fillId="0" borderId="0" xfId="0" applyFont="1"/>
    <xf numFmtId="2" fontId="0" fillId="0" borderId="1" xfId="0" applyNumberFormat="1" applyBorder="1"/>
    <xf numFmtId="2" fontId="1" fillId="3" borderId="1" xfId="0" applyNumberFormat="1" applyFont="1" applyFill="1" applyBorder="1"/>
    <xf numFmtId="2" fontId="0" fillId="0" borderId="0" xfId="0" applyNumberFormat="1"/>
    <xf numFmtId="0" fontId="1" fillId="3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38" fontId="1" fillId="3" borderId="1" xfId="0" applyNumberFormat="1" applyFont="1" applyFill="1" applyBorder="1"/>
    <xf numFmtId="0" fontId="1" fillId="0" borderId="0" xfId="0" applyFont="1" applyAlignment="1">
      <alignment wrapText="1"/>
    </xf>
    <xf numFmtId="14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right"/>
    </xf>
    <xf numFmtId="8" fontId="1" fillId="0" borderId="0" xfId="0" applyNumberFormat="1" applyFont="1"/>
    <xf numFmtId="0" fontId="1" fillId="6" borderId="1" xfId="0" applyFont="1" applyFill="1" applyBorder="1"/>
    <xf numFmtId="2" fontId="1" fillId="6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0" fillId="0" borderId="0" xfId="0" applyBorder="1"/>
    <xf numFmtId="0" fontId="1" fillId="0" borderId="0" xfId="0" applyFont="1" applyFill="1" applyBorder="1"/>
    <xf numFmtId="8" fontId="1" fillId="0" borderId="0" xfId="0" applyNumberFormat="1" applyFont="1" applyFill="1" applyBorder="1"/>
    <xf numFmtId="4" fontId="5" fillId="0" borderId="0" xfId="0" applyNumberFormat="1" applyFont="1"/>
    <xf numFmtId="8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Fill="1" applyBorder="1"/>
    <xf numFmtId="164" fontId="0" fillId="0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4" fontId="1" fillId="3" borderId="1" xfId="0" applyNumberFormat="1" applyFont="1" applyFill="1" applyBorder="1"/>
    <xf numFmtId="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3E87-DE09-43D9-AE52-A8D8920EC236}">
  <dimension ref="B4:C16"/>
  <sheetViews>
    <sheetView tabSelected="1" workbookViewId="0">
      <selection activeCell="C9" sqref="C9"/>
    </sheetView>
  </sheetViews>
  <sheetFormatPr defaultRowHeight="14.5" x14ac:dyDescent="0.35"/>
  <cols>
    <col min="2" max="2" width="54.36328125" customWidth="1"/>
    <col min="3" max="3" width="10.54296875" bestFit="1" customWidth="1"/>
  </cols>
  <sheetData>
    <row r="4" spans="2:3" x14ac:dyDescent="0.35">
      <c r="B4" s="1" t="s">
        <v>0</v>
      </c>
      <c r="C4" s="2" t="s">
        <v>1</v>
      </c>
    </row>
    <row r="5" spans="2:3" ht="16" x14ac:dyDescent="0.4">
      <c r="B5" s="3" t="s">
        <v>19</v>
      </c>
      <c r="C5" s="43">
        <v>5694.12</v>
      </c>
    </row>
    <row r="6" spans="2:3" x14ac:dyDescent="0.35">
      <c r="B6" s="3" t="s">
        <v>2</v>
      </c>
      <c r="C6" s="3">
        <v>0</v>
      </c>
    </row>
    <row r="7" spans="2:3" x14ac:dyDescent="0.35">
      <c r="B7" s="3" t="s">
        <v>20</v>
      </c>
      <c r="C7" s="5">
        <f>C5+C6</f>
        <v>5694.12</v>
      </c>
    </row>
    <row r="8" spans="2:3" x14ac:dyDescent="0.35">
      <c r="B8" s="3" t="s">
        <v>21</v>
      </c>
      <c r="C8" s="5">
        <v>17.14</v>
      </c>
    </row>
    <row r="9" spans="2:3" x14ac:dyDescent="0.35">
      <c r="B9" s="3" t="s">
        <v>26</v>
      </c>
      <c r="C9" s="51">
        <f>SUM(C7+C8)</f>
        <v>5711.26</v>
      </c>
    </row>
    <row r="10" spans="2:3" x14ac:dyDescent="0.35">
      <c r="B10" s="40"/>
      <c r="C10" s="40"/>
    </row>
    <row r="11" spans="2:3" x14ac:dyDescent="0.35">
      <c r="B11" s="41"/>
      <c r="C11" s="42"/>
    </row>
    <row r="13" spans="2:3" x14ac:dyDescent="0.35">
      <c r="B13" s="1" t="s">
        <v>3</v>
      </c>
      <c r="C13" s="2" t="s">
        <v>1</v>
      </c>
    </row>
    <row r="14" spans="2:3" x14ac:dyDescent="0.35">
      <c r="B14" s="3" t="s">
        <v>4</v>
      </c>
      <c r="C14" s="5">
        <v>14.91</v>
      </c>
    </row>
    <row r="15" spans="2:3" x14ac:dyDescent="0.35">
      <c r="B15" s="3" t="s">
        <v>27</v>
      </c>
      <c r="C15" s="3">
        <v>-5.24</v>
      </c>
    </row>
    <row r="16" spans="2:3" x14ac:dyDescent="0.35">
      <c r="B16" s="6" t="s">
        <v>18</v>
      </c>
      <c r="C16" s="11">
        <f>SUM(C14:C15)</f>
        <v>9.67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487B-51C6-43FE-B344-2C43F0424706}">
  <dimension ref="B3:H21"/>
  <sheetViews>
    <sheetView workbookViewId="0">
      <selection activeCell="B18" sqref="B18"/>
    </sheetView>
  </sheetViews>
  <sheetFormatPr defaultRowHeight="14.5" x14ac:dyDescent="0.35"/>
  <cols>
    <col min="2" max="2" width="35.54296875" customWidth="1"/>
    <col min="3" max="3" width="22.54296875" bestFit="1" customWidth="1"/>
    <col min="4" max="4" width="17.36328125" customWidth="1"/>
    <col min="5" max="5" width="10.54296875" bestFit="1" customWidth="1"/>
    <col min="6" max="6" width="35.1796875" customWidth="1"/>
    <col min="7" max="7" width="24.453125" customWidth="1"/>
    <col min="8" max="8" width="39.08984375" bestFit="1" customWidth="1"/>
    <col min="9" max="9" width="10.54296875" bestFit="1" customWidth="1"/>
  </cols>
  <sheetData>
    <row r="3" spans="2:8" x14ac:dyDescent="0.35">
      <c r="B3" s="37" t="s">
        <v>5</v>
      </c>
      <c r="C3" s="37"/>
      <c r="D3" s="37"/>
      <c r="E3" s="37"/>
      <c r="F3" s="37"/>
    </row>
    <row r="4" spans="2:8" ht="43.5" x14ac:dyDescent="0.35">
      <c r="B4" s="7" t="s">
        <v>6</v>
      </c>
      <c r="C4" s="8" t="s">
        <v>9</v>
      </c>
      <c r="D4" s="8" t="s">
        <v>28</v>
      </c>
      <c r="E4" s="8" t="s">
        <v>10</v>
      </c>
      <c r="F4" s="8" t="s">
        <v>7</v>
      </c>
      <c r="G4" s="8" t="s">
        <v>11</v>
      </c>
      <c r="H4" s="19"/>
    </row>
    <row r="5" spans="2:8" x14ac:dyDescent="0.35">
      <c r="B5" s="9">
        <v>46097</v>
      </c>
      <c r="C5" s="3">
        <v>10</v>
      </c>
      <c r="D5" s="3">
        <v>8</v>
      </c>
      <c r="E5" s="3">
        <v>29</v>
      </c>
      <c r="F5" s="5">
        <v>47</v>
      </c>
      <c r="G5" s="32">
        <v>14.91</v>
      </c>
    </row>
    <row r="6" spans="2:8" x14ac:dyDescent="0.35">
      <c r="B6" s="10" t="s">
        <v>8</v>
      </c>
      <c r="C6" s="29">
        <f>C5</f>
        <v>10</v>
      </c>
      <c r="D6" s="29">
        <f>D5</f>
        <v>8</v>
      </c>
      <c r="E6" s="29">
        <f>E5</f>
        <v>29</v>
      </c>
      <c r="F6" s="29">
        <f>F5</f>
        <v>47</v>
      </c>
      <c r="G6" s="11">
        <f>G5</f>
        <v>14.91</v>
      </c>
    </row>
    <row r="8" spans="2:8" ht="16.5" x14ac:dyDescent="0.35">
      <c r="F8" s="12"/>
      <c r="G8" s="13"/>
      <c r="H8" s="13"/>
    </row>
    <row r="9" spans="2:8" ht="16.5" x14ac:dyDescent="0.35">
      <c r="H9" s="13"/>
    </row>
    <row r="10" spans="2:8" ht="16.5" x14ac:dyDescent="0.35">
      <c r="B10" s="1" t="s">
        <v>6</v>
      </c>
      <c r="C10" s="2" t="s">
        <v>29</v>
      </c>
      <c r="D10" s="1" t="s">
        <v>30</v>
      </c>
      <c r="F10" s="1" t="s">
        <v>3</v>
      </c>
      <c r="G10" s="2" t="s">
        <v>1</v>
      </c>
      <c r="H10" s="14"/>
    </row>
    <row r="11" spans="2:8" x14ac:dyDescent="0.35">
      <c r="B11" s="9">
        <v>46097</v>
      </c>
      <c r="C11" s="5">
        <v>5.24</v>
      </c>
      <c r="D11" s="5">
        <v>2.1</v>
      </c>
      <c r="F11" s="3" t="s">
        <v>4</v>
      </c>
      <c r="G11" s="5">
        <v>14.91</v>
      </c>
    </row>
    <row r="12" spans="2:8" x14ac:dyDescent="0.35">
      <c r="B12" s="45" t="s">
        <v>31</v>
      </c>
      <c r="C12" s="11">
        <f>SUM(C11,C13)</f>
        <v>5.24</v>
      </c>
      <c r="D12" s="44">
        <f>D11</f>
        <v>2.1</v>
      </c>
      <c r="F12" s="3" t="s">
        <v>27</v>
      </c>
      <c r="G12" s="3">
        <v>-5.24</v>
      </c>
    </row>
    <row r="13" spans="2:8" x14ac:dyDescent="0.35">
      <c r="B13" s="40"/>
      <c r="C13" s="40"/>
      <c r="F13" s="3" t="s">
        <v>18</v>
      </c>
      <c r="G13" s="44">
        <f>SUM(G11:G12)</f>
        <v>9.67</v>
      </c>
    </row>
    <row r="14" spans="2:8" x14ac:dyDescent="0.35">
      <c r="E14" s="16"/>
    </row>
    <row r="15" spans="2:8" ht="16.5" x14ac:dyDescent="0.35">
      <c r="C15" s="17"/>
      <c r="D15" s="17"/>
    </row>
    <row r="16" spans="2:8" x14ac:dyDescent="0.35">
      <c r="E16" s="19"/>
      <c r="F16" s="30"/>
      <c r="G16" s="30"/>
    </row>
    <row r="17" spans="5:7" x14ac:dyDescent="0.35">
      <c r="E17" s="31"/>
      <c r="F17" s="32"/>
      <c r="G17" s="32"/>
    </row>
    <row r="18" spans="5:7" x14ac:dyDescent="0.35">
      <c r="E18" s="33"/>
      <c r="F18" s="34"/>
      <c r="G18" s="34"/>
    </row>
    <row r="19" spans="5:7" ht="16.5" x14ac:dyDescent="0.35">
      <c r="E19" s="14"/>
      <c r="F19" s="18"/>
      <c r="G19" s="14"/>
    </row>
    <row r="20" spans="5:7" x14ac:dyDescent="0.35">
      <c r="E20" s="16"/>
    </row>
    <row r="21" spans="5:7" x14ac:dyDescent="0.35">
      <c r="E21" s="15"/>
    </row>
  </sheetData>
  <mergeCells count="1">
    <mergeCell ref="B3:F3"/>
  </mergeCells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73DB-5586-41F8-AF9D-47D8FC0B82C5}">
  <dimension ref="B3:E13"/>
  <sheetViews>
    <sheetView workbookViewId="0">
      <selection activeCell="B8" sqref="B8:D8"/>
    </sheetView>
  </sheetViews>
  <sheetFormatPr defaultRowHeight="14.5" x14ac:dyDescent="0.35"/>
  <cols>
    <col min="2" max="2" width="53.453125" customWidth="1"/>
    <col min="3" max="3" width="10.54296875" bestFit="1" customWidth="1"/>
    <col min="5" max="5" width="8.7265625" style="22"/>
    <col min="6" max="6" width="35.7265625" bestFit="1" customWidth="1"/>
    <col min="7" max="7" width="10.1796875" bestFit="1" customWidth="1"/>
  </cols>
  <sheetData>
    <row r="3" spans="2:5" x14ac:dyDescent="0.35">
      <c r="B3" s="35" t="s">
        <v>12</v>
      </c>
      <c r="C3" s="35" t="s">
        <v>13</v>
      </c>
      <c r="D3" s="35" t="s">
        <v>14</v>
      </c>
      <c r="E3" s="36" t="s">
        <v>1</v>
      </c>
    </row>
    <row r="4" spans="2:5" x14ac:dyDescent="0.35">
      <c r="B4" s="3" t="s">
        <v>32</v>
      </c>
      <c r="C4" s="3"/>
      <c r="D4" s="3"/>
      <c r="E4" s="20"/>
    </row>
    <row r="5" spans="2:5" x14ac:dyDescent="0.35">
      <c r="B5" s="3" t="s">
        <v>29</v>
      </c>
      <c r="C5" s="3">
        <v>13</v>
      </c>
      <c r="D5" s="5">
        <v>0.40316999999999997</v>
      </c>
      <c r="E5" s="20">
        <f>C5*D5</f>
        <v>5.2412099999999997</v>
      </c>
    </row>
    <row r="6" spans="2:5" x14ac:dyDescent="0.35">
      <c r="B6" s="3" t="s">
        <v>33</v>
      </c>
      <c r="C6" s="3"/>
      <c r="D6" s="3"/>
      <c r="E6" s="20"/>
    </row>
    <row r="7" spans="2:5" x14ac:dyDescent="0.35">
      <c r="B7" s="3" t="s">
        <v>34</v>
      </c>
      <c r="C7" s="3">
        <v>15</v>
      </c>
      <c r="D7" s="5">
        <v>0.79342999999999997</v>
      </c>
      <c r="E7" s="20">
        <f>C7*D7</f>
        <v>11.901449999999999</v>
      </c>
    </row>
    <row r="8" spans="2:5" x14ac:dyDescent="0.35">
      <c r="B8" s="39" t="s">
        <v>15</v>
      </c>
      <c r="C8" s="39"/>
      <c r="D8" s="39"/>
      <c r="E8" s="21">
        <f>ROUND(SUM(E5:E7),2)</f>
        <v>17.14</v>
      </c>
    </row>
    <row r="10" spans="2:5" x14ac:dyDescent="0.35">
      <c r="E10"/>
    </row>
    <row r="11" spans="2:5" x14ac:dyDescent="0.35">
      <c r="E11"/>
    </row>
    <row r="12" spans="2:5" x14ac:dyDescent="0.35">
      <c r="E12"/>
    </row>
    <row r="13" spans="2:5" x14ac:dyDescent="0.35">
      <c r="C13" s="22"/>
      <c r="E13"/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CD29-35AC-4E85-8E47-F4A7F19A77FE}">
  <dimension ref="C5:F22"/>
  <sheetViews>
    <sheetView topLeftCell="A7" workbookViewId="0">
      <selection activeCell="F13" sqref="F13"/>
    </sheetView>
  </sheetViews>
  <sheetFormatPr defaultRowHeight="14.5" x14ac:dyDescent="0.35"/>
  <cols>
    <col min="3" max="3" width="35.08984375" bestFit="1" customWidth="1"/>
    <col min="4" max="4" width="17" customWidth="1"/>
    <col min="6" max="6" width="9.90625" bestFit="1" customWidth="1"/>
  </cols>
  <sheetData>
    <row r="5" spans="3:6" x14ac:dyDescent="0.35">
      <c r="C5" s="38" t="s">
        <v>16</v>
      </c>
      <c r="D5" s="38"/>
      <c r="E5" s="38"/>
      <c r="F5" s="38"/>
    </row>
    <row r="6" spans="3:6" x14ac:dyDescent="0.35">
      <c r="C6" s="3" t="s">
        <v>32</v>
      </c>
      <c r="D6" s="28"/>
      <c r="E6" s="28"/>
      <c r="F6" s="28"/>
    </row>
    <row r="7" spans="3:6" x14ac:dyDescent="0.35">
      <c r="C7" s="3" t="s">
        <v>22</v>
      </c>
      <c r="D7" s="3"/>
      <c r="E7" s="3"/>
      <c r="F7" s="24"/>
    </row>
    <row r="8" spans="3:6" x14ac:dyDescent="0.35">
      <c r="C8" s="3" t="s">
        <v>35</v>
      </c>
      <c r="D8" s="3">
        <v>4.5169800000000002</v>
      </c>
      <c r="E8" s="5">
        <v>0.47012999999999999</v>
      </c>
      <c r="F8" s="24">
        <f>D8*E8</f>
        <v>2.1235678074000002</v>
      </c>
    </row>
    <row r="9" spans="3:6" x14ac:dyDescent="0.35">
      <c r="C9" s="3" t="s">
        <v>36</v>
      </c>
      <c r="D9" s="3">
        <v>3.6135799999999998</v>
      </c>
      <c r="E9" s="5">
        <v>0.45343</v>
      </c>
      <c r="F9" s="24">
        <f>D9*E9</f>
        <v>1.6385055793999999</v>
      </c>
    </row>
    <row r="10" spans="3:6" x14ac:dyDescent="0.35">
      <c r="C10" s="3" t="s">
        <v>23</v>
      </c>
      <c r="D10" s="4">
        <v>13.550940000000001</v>
      </c>
      <c r="E10" s="5">
        <v>0.28473999999999999</v>
      </c>
      <c r="F10" s="5">
        <f>D10*E10</f>
        <v>3.8584946555999999</v>
      </c>
    </row>
    <row r="11" spans="3:6" x14ac:dyDescent="0.35">
      <c r="C11" s="3" t="s">
        <v>37</v>
      </c>
      <c r="D11" s="25"/>
      <c r="E11" s="26"/>
      <c r="F11" s="3">
        <v>-0.74</v>
      </c>
    </row>
    <row r="12" spans="3:6" x14ac:dyDescent="0.35">
      <c r="C12" s="46" t="s">
        <v>38</v>
      </c>
      <c r="D12" s="46"/>
      <c r="E12" s="46"/>
      <c r="F12" s="47">
        <v>0.74</v>
      </c>
    </row>
    <row r="13" spans="3:6" x14ac:dyDescent="0.35">
      <c r="C13" s="6" t="s">
        <v>39</v>
      </c>
      <c r="D13" s="6"/>
      <c r="E13" s="6"/>
      <c r="F13" s="50">
        <f>SUM(F8:F12)</f>
        <v>7.6205680424000004</v>
      </c>
    </row>
    <row r="14" spans="3:6" x14ac:dyDescent="0.35">
      <c r="C14" s="3"/>
      <c r="D14" s="28"/>
      <c r="E14" s="28"/>
      <c r="F14" s="28"/>
    </row>
    <row r="15" spans="3:6" x14ac:dyDescent="0.35">
      <c r="C15" s="3" t="s">
        <v>33</v>
      </c>
      <c r="D15" s="3"/>
      <c r="E15" s="3"/>
      <c r="F15" s="24"/>
    </row>
    <row r="16" spans="3:6" x14ac:dyDescent="0.35">
      <c r="C16" s="3" t="s">
        <v>22</v>
      </c>
      <c r="D16" s="3"/>
      <c r="E16" s="3"/>
      <c r="F16" s="24"/>
    </row>
    <row r="17" spans="3:6" x14ac:dyDescent="0.35">
      <c r="C17" s="3" t="s">
        <v>35</v>
      </c>
      <c r="D17" s="3">
        <v>5.2119</v>
      </c>
      <c r="E17" s="5">
        <v>0.41099000000000002</v>
      </c>
      <c r="F17" s="24">
        <f>D17*E17</f>
        <v>2.1420387810000001</v>
      </c>
    </row>
    <row r="18" spans="3:6" x14ac:dyDescent="0.35">
      <c r="C18" s="3" t="s">
        <v>36</v>
      </c>
      <c r="D18" s="4">
        <v>4.1695200000000003</v>
      </c>
      <c r="E18" s="5">
        <v>0.39428000000000002</v>
      </c>
      <c r="F18" s="5">
        <f>D18*E18</f>
        <v>1.6439583456000002</v>
      </c>
    </row>
    <row r="19" spans="3:6" x14ac:dyDescent="0.35">
      <c r="C19" s="48" t="s">
        <v>23</v>
      </c>
      <c r="D19" s="25">
        <v>15.56621</v>
      </c>
      <c r="E19" s="26">
        <v>0.22558</v>
      </c>
      <c r="F19" s="24">
        <f>D19*E19</f>
        <v>3.5114256518000002</v>
      </c>
    </row>
    <row r="20" spans="3:6" x14ac:dyDescent="0.35">
      <c r="C20" s="3" t="s">
        <v>37</v>
      </c>
      <c r="D20" s="3"/>
      <c r="E20" s="3"/>
      <c r="F20" s="49">
        <v>-0.3</v>
      </c>
    </row>
    <row r="21" spans="3:6" x14ac:dyDescent="0.35">
      <c r="C21" s="3" t="s">
        <v>38</v>
      </c>
      <c r="D21" s="3"/>
      <c r="E21" s="3"/>
      <c r="F21" s="3">
        <v>0.3</v>
      </c>
    </row>
    <row r="22" spans="3:6" x14ac:dyDescent="0.35">
      <c r="C22" s="6" t="s">
        <v>24</v>
      </c>
      <c r="D22" s="6"/>
      <c r="E22" s="6"/>
      <c r="F22" s="50">
        <f>ROUNDDOWN(SUM(F17:F21),2)</f>
        <v>7.29</v>
      </c>
    </row>
  </sheetData>
  <mergeCells count="1">
    <mergeCell ref="C5:F5"/>
  </mergeCells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1C9C-4371-4D6B-99FA-CF81A8753A98}">
  <dimension ref="B2:L23"/>
  <sheetViews>
    <sheetView workbookViewId="0">
      <selection activeCell="J8" sqref="J8"/>
    </sheetView>
  </sheetViews>
  <sheetFormatPr defaultRowHeight="14.5" x14ac:dyDescent="0.35"/>
  <cols>
    <col min="2" max="2" width="31.1796875" bestFit="1" customWidth="1"/>
    <col min="3" max="3" width="7.36328125" bestFit="1" customWidth="1"/>
  </cols>
  <sheetData>
    <row r="2" spans="2:12" x14ac:dyDescent="0.35">
      <c r="B2" s="1" t="s">
        <v>17</v>
      </c>
      <c r="C2" s="2" t="s">
        <v>1</v>
      </c>
    </row>
    <row r="3" spans="2:12" ht="16.5" x14ac:dyDescent="0.35">
      <c r="B3" s="27" t="s">
        <v>40</v>
      </c>
      <c r="C3" s="3">
        <v>12.48</v>
      </c>
    </row>
    <row r="4" spans="2:12" x14ac:dyDescent="0.35">
      <c r="B4" s="3" t="s">
        <v>41</v>
      </c>
      <c r="C4" s="3">
        <v>4.66</v>
      </c>
    </row>
    <row r="5" spans="2:12" x14ac:dyDescent="0.35">
      <c r="B5" s="6" t="s">
        <v>25</v>
      </c>
      <c r="C5" s="23">
        <f>SUM(C3,C4)</f>
        <v>17.14</v>
      </c>
    </row>
    <row r="7" spans="2:12" x14ac:dyDescent="0.35">
      <c r="K7" s="15"/>
    </row>
    <row r="8" spans="2:12" x14ac:dyDescent="0.35">
      <c r="K8" s="16"/>
    </row>
    <row r="9" spans="2:12" ht="16.5" x14ac:dyDescent="0.35">
      <c r="K9" s="17"/>
      <c r="L9" s="17"/>
    </row>
    <row r="10" spans="2:12" ht="16.5" x14ac:dyDescent="0.35">
      <c r="K10" s="13"/>
      <c r="L10" s="13"/>
    </row>
    <row r="11" spans="2:12" ht="16.5" x14ac:dyDescent="0.35">
      <c r="K11" s="13"/>
      <c r="L11" s="13"/>
    </row>
    <row r="12" spans="2:12" ht="16.5" x14ac:dyDescent="0.35">
      <c r="K12" s="13"/>
      <c r="L12" s="13"/>
    </row>
    <row r="13" spans="2:12" ht="16.5" x14ac:dyDescent="0.35">
      <c r="K13" s="13"/>
      <c r="L13" s="13"/>
    </row>
    <row r="14" spans="2:12" ht="16.5" x14ac:dyDescent="0.35">
      <c r="K14" s="13"/>
      <c r="L14" s="13"/>
    </row>
    <row r="15" spans="2:12" ht="16.5" x14ac:dyDescent="0.35">
      <c r="K15" s="13"/>
      <c r="L15" s="13"/>
    </row>
    <row r="16" spans="2:12" ht="16.5" x14ac:dyDescent="0.35">
      <c r="K16" s="13"/>
      <c r="L16" s="13"/>
    </row>
    <row r="17" spans="11:12" ht="16.5" x14ac:dyDescent="0.35">
      <c r="K17" s="13"/>
      <c r="L17" s="13"/>
    </row>
    <row r="18" spans="11:12" ht="16.5" x14ac:dyDescent="0.35">
      <c r="K18" s="13"/>
      <c r="L18" s="13"/>
    </row>
    <row r="19" spans="11:12" ht="16.5" x14ac:dyDescent="0.35">
      <c r="K19" s="13"/>
      <c r="L19" s="13"/>
    </row>
    <row r="20" spans="11:12" ht="16.5" x14ac:dyDescent="0.35">
      <c r="K20" s="13"/>
      <c r="L20" s="13"/>
    </row>
    <row r="21" spans="11:12" ht="16.5" x14ac:dyDescent="0.35">
      <c r="K21" s="13"/>
      <c r="L21" s="13"/>
    </row>
    <row r="22" spans="11:12" x14ac:dyDescent="0.35">
      <c r="K22" s="16"/>
    </row>
    <row r="23" spans="11:12" x14ac:dyDescent="0.35">
      <c r="K23" s="15"/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3</vt:lpstr>
      <vt:lpstr>Page 5</vt:lpstr>
      <vt:lpstr>Page 6</vt:lpstr>
      <vt:lpstr>Page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Sivacoumar, Santhiya</dc:creator>
  <cp:lastModifiedBy>Nagaraj, Srihari</cp:lastModifiedBy>
  <dcterms:created xsi:type="dcterms:W3CDTF">2025-11-15T11:33:38Z</dcterms:created>
  <dcterms:modified xsi:type="dcterms:W3CDTF">2026-02-18T12:48:05Z</dcterms:modified>
</cp:coreProperties>
</file>